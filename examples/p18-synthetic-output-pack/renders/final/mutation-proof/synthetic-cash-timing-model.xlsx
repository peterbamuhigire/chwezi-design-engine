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Cash bridges" sheetId="3" state="visible" r:id="rId3"/>
    <sheet xmlns:r="http://schemas.openxmlformats.org/officeDocument/2006/relationships" name="Chart data" sheetId="4" state="hidden" r:id="rId4"/>
  </sheets>
  <definedNames>
    <definedName name="_xlnm._FilterDatabase" localSheetId="0" hidden="1">'Summary'!$A$1:$H$7</definedName>
    <definedName name="_xlnm.Print_Titles" localSheetId="0">'Summary'!$1:$3</definedName>
    <definedName name="_xlnm.Print_Area" localSheetId="0">'Summary'!$A$1:$H$26</definedName>
    <definedName name="_xlnm._FilterDatabase" localSheetId="1" hidden="1">'Inputs'!$A$1:$C$13</definedName>
    <definedName name="_xlnm.Print_Titles" localSheetId="1">'Inputs'!$1:$3</definedName>
    <definedName name="_xlnm.Print_Area" localSheetId="1">'Inputs'!$A$1:$C$13</definedName>
    <definedName name="_xlnm._FilterDatabase" localSheetId="2" hidden="1">'Cash bridges'!$A$1:$H$17</definedName>
    <definedName name="_xlnm.Print_Titles" localSheetId="2">'Cash bridges'!$1:$3</definedName>
    <definedName name="_xlnm.Print_Area" localSheetId="2">'Cash bridges'!$A$1:$H$18</definedName>
    <definedName name="_xlnm._FilterDatabase" localSheetId="3" hidden="1">'Chart data'!$A$1:$B$6</definedName>
    <definedName name="_xlnm.Print_Titles" localSheetId="3">'Chart data'!$1:$3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#,##0;[Red](#,##0);0"/>
  </numFmts>
  <fonts count="6">
    <font>
      <name val="Calibri"/>
      <family val="2"/>
      <color theme="1"/>
      <sz val="11"/>
      <scheme val="minor"/>
    </font>
    <font>
      <name val="Atkinson Hyperlegible"/>
      <color rgb="001466A5"/>
    </font>
    <font>
      <name val="Atkinson Hyperlegible"/>
      <b val="1"/>
      <color rgb="00FFFFFF"/>
      <sz val="9"/>
    </font>
    <font>
      <name val="Spectral"/>
      <b val="1"/>
      <color rgb="0018313A"/>
      <sz val="16"/>
    </font>
    <font>
      <name val="Atkinson Hyperlegible"/>
      <color rgb="0018313A"/>
      <sz val="9"/>
    </font>
    <font>
      <name val="Atkinson Hyperlegible"/>
      <b val="1"/>
      <color rgb="009C3F35"/>
      <sz val="9"/>
    </font>
  </fonts>
  <fills count="3">
    <fill>
      <patternFill/>
    </fill>
    <fill>
      <patternFill patternType="gray125"/>
    </fill>
    <fill>
      <patternFill patternType="solid">
        <fgColor rgb="001831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top" wrapText="1"/>
    </xf>
    <xf numFmtId="164" fontId="1" fillId="0" borderId="0" applyAlignment="1" pivotButton="0" quotePrefix="0" xfId="0">
      <alignment horizontal="right" vertical="top"/>
    </xf>
    <xf numFmtId="164" fontId="0" fillId="0" borderId="0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Only the two-period delay leaves a gap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 data'!B3</f>
            </strRef>
          </tx>
          <spPr>
            <a:solidFill xmlns:a="http://schemas.openxmlformats.org/drawingml/2006/main">
              <a:srgbClr val="176B68"/>
            </a:solidFill>
            <a:ln xmlns:a="http://schemas.openxmlformats.org/drawingml/2006/main">
              <a:solidFill>
                <a:srgbClr val="176B68"/>
              </a:solidFill>
              <a:prstDash val="solid"/>
            </a:ln>
          </spPr>
          <cat>
            <numRef>
              <f>'Chart data'!$A$4:$A$6</f>
            </numRef>
          </cat>
          <val>
            <numRef>
              <f>'Chart data'!$B$4:$B$6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Collection delay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2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Unfunded gap (SCU)</a:t>
                </a:r>
              </a:p>
            </rich>
          </tx>
        </title>
        <majorTickMark val="none"/>
        <minorTickMark val="none"/>
        <crossAx val="10"/>
        <majorUnit val="4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16" customWidth="1" min="4" max="4"/>
    <col width="16" customWidth="1" min="5" max="5"/>
    <col width="17" customWidth="1" min="6" max="6"/>
    <col width="16" customWidth="1" min="7" max="7"/>
    <col width="20" customWidth="1" min="8" max="8"/>
  </cols>
  <sheetData>
    <row r="1" ht="26" customHeight="1">
      <c r="A1" s="1" t="inlineStr">
        <is>
          <t>Collection delay changes temporary cash needs</t>
        </is>
      </c>
    </row>
    <row r="2">
      <c r="A2" s="2" t="inlineStr">
        <is>
          <t>Synthetic cash timing only  /  SCU is not a real currency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Scenario</t>
        </is>
      </c>
      <c r="B3" s="3" t="inlineStr">
        <is>
          <t>Lag (periods)</t>
        </is>
      </c>
      <c r="C3" s="3" t="inlineStr">
        <is>
          <t>Total billings</t>
        </is>
      </c>
      <c r="D3" s="3" t="inlineStr">
        <is>
          <t>Cash trough</t>
        </is>
      </c>
      <c r="E3" s="3" t="inlineStr">
        <is>
          <t>Funding need</t>
        </is>
      </c>
      <c r="F3" s="3" t="inlineStr">
        <is>
          <t>Assumed buffer</t>
        </is>
      </c>
      <c r="G3" s="3" t="inlineStr">
        <is>
          <t>Unfunded gap</t>
        </is>
      </c>
      <c r="H3" s="3" t="inlineStr">
        <is>
          <t>Ending receivables</t>
        </is>
      </c>
    </row>
    <row r="4">
      <c r="A4" s="4">
        <f>Inputs!A9</f>
        <v/>
      </c>
      <c r="B4" s="4">
        <f>Inputs!B9</f>
        <v/>
      </c>
      <c r="C4" s="4">
        <f>SUM('Cash bridges'!C4:C7)</f>
        <v/>
      </c>
      <c r="D4" s="4">
        <f>MIN(Inputs!B4,'Cash bridges'!G4:G7)</f>
        <v/>
      </c>
      <c r="E4" s="4">
        <f>MAX(0,-D4)</f>
        <v/>
      </c>
      <c r="F4" s="4">
        <f>Inputs!B7</f>
        <v/>
      </c>
      <c r="G4" s="4">
        <f>MAX(0,E4-F4)</f>
        <v/>
      </c>
      <c r="H4" s="4">
        <f>C4-SUM('Cash bridges'!D4:D7)</f>
        <v/>
      </c>
    </row>
    <row r="5">
      <c r="A5" s="4">
        <f>Inputs!A10</f>
        <v/>
      </c>
      <c r="B5" s="4">
        <f>Inputs!B10</f>
        <v/>
      </c>
      <c r="C5" s="4">
        <f>SUM('Cash bridges'!C9:C12)</f>
        <v/>
      </c>
      <c r="D5" s="4">
        <f>MIN(Inputs!B4,'Cash bridges'!G9:G12)</f>
        <v/>
      </c>
      <c r="E5" s="4">
        <f>MAX(0,-D5)</f>
        <v/>
      </c>
      <c r="F5" s="4">
        <f>Inputs!B7</f>
        <v/>
      </c>
      <c r="G5" s="4">
        <f>MAX(0,E5-F5)</f>
        <v/>
      </c>
      <c r="H5" s="4">
        <f>C5-SUM('Cash bridges'!D9:D12)</f>
        <v/>
      </c>
    </row>
    <row r="6">
      <c r="A6" s="4">
        <f>Inputs!A11</f>
        <v/>
      </c>
      <c r="B6" s="4">
        <f>Inputs!B11</f>
        <v/>
      </c>
      <c r="C6" s="4">
        <f>SUM('Cash bridges'!C14:C17)</f>
        <v/>
      </c>
      <c r="D6" s="4">
        <f>MIN(Inputs!B4,'Cash bridges'!G14:G17)</f>
        <v/>
      </c>
      <c r="E6" s="4">
        <f>MAX(0,-D6)</f>
        <v/>
      </c>
      <c r="F6" s="4">
        <f>Inputs!B7</f>
        <v/>
      </c>
      <c r="G6" s="4">
        <f>MAX(0,E6-F6)</f>
        <v/>
      </c>
      <c r="H6" s="4">
        <f>C6-SUM('Cash bridges'!D14:D17)</f>
        <v/>
      </c>
    </row>
    <row r="7" ht="22" customHeight="1">
      <c r="A7" s="5" t="inlineStr">
        <is>
          <t>SYNTHETIC ONLY  /  Arithmetic illustration; see Inputs for scope limits.</t>
        </is>
      </c>
      <c r="B7" s="2" t="n"/>
      <c r="C7" s="2" t="n"/>
      <c r="D7" s="2" t="n"/>
      <c r="E7" s="2" t="n"/>
      <c r="F7" s="2" t="n"/>
      <c r="G7" s="2" t="n"/>
      <c r="H7" s="2" t="n"/>
    </row>
  </sheetData>
  <autoFilter ref="A1:H7"/>
  <pageMargins left="0.35" right="0.35" top="0.45" bottom="0.45" header="0.5" footer="0.5"/>
  <pageSetup orientation="landscape" paperSize="9" fitToHeight="1" fitToWidth="1"/>
  <headerFooter>
    <oddHeader/>
    <oddFooter>&amp;CSynthetic internal example — not client or accounting output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74" customWidth="1" min="3" max="3"/>
  </cols>
  <sheetData>
    <row r="1" ht="26" customHeight="1">
      <c r="A1" s="1" t="inlineStr">
        <is>
          <t>Synthetic collection-timing inputs</t>
        </is>
      </c>
    </row>
    <row r="2">
      <c r="A2" s="3" t="inlineStr">
        <is>
          <t>Field</t>
        </is>
      </c>
      <c r="B2" s="3" t="inlineStr">
        <is>
          <t>Value</t>
        </is>
      </c>
      <c r="C2" s="3" t="inlineStr">
        <is>
          <t>Unit / boundary</t>
        </is>
      </c>
    </row>
    <row r="3">
      <c r="A3" s="2" t="inlineStr">
        <is>
          <t>Periods</t>
        </is>
      </c>
      <c r="B3" s="6" t="n">
        <v>4</v>
      </c>
      <c r="C3" s="2" t="inlineStr">
        <is>
          <t>periods</t>
        </is>
      </c>
    </row>
    <row r="4">
      <c r="A4" s="2" t="inlineStr">
        <is>
          <t>Opening cash</t>
        </is>
      </c>
      <c r="B4" s="7" t="n">
        <v>0</v>
      </c>
      <c r="C4" s="2" t="inlineStr">
        <is>
          <t>SCU</t>
        </is>
      </c>
    </row>
    <row r="5">
      <c r="A5" s="2" t="inlineStr">
        <is>
          <t>Monthly billings</t>
        </is>
      </c>
      <c r="B5" s="7" t="n">
        <v>100</v>
      </c>
      <c r="C5" s="2" t="inlineStr">
        <is>
          <t>SCU/period</t>
        </is>
      </c>
    </row>
    <row r="6">
      <c r="A6" s="2" t="inlineStr">
        <is>
          <t>Monthly cash costs</t>
        </is>
      </c>
      <c r="B6" s="7" t="n">
        <v>60</v>
      </c>
      <c r="C6" s="2" t="inlineStr">
        <is>
          <t>SCU/period</t>
        </is>
      </c>
    </row>
    <row r="7">
      <c r="A7" s="2" t="inlineStr">
        <is>
          <t>Available liquidity</t>
        </is>
      </c>
      <c r="B7" s="7" t="n">
        <v>100</v>
      </c>
      <c r="C7" s="2" t="inlineStr">
        <is>
          <t>SCU; assumed buffer, not committed funding</t>
        </is>
      </c>
    </row>
    <row r="8">
      <c r="A8" s="2" t="inlineStr">
        <is>
          <t>Collection rate</t>
        </is>
      </c>
      <c r="B8" s="7" t="n">
        <v>100</v>
      </c>
      <c r="C8" s="2" t="inlineStr">
        <is>
          <t>%; simplified test assumption</t>
        </is>
      </c>
    </row>
    <row r="9">
      <c r="A9" s="2" t="inlineStr">
        <is>
          <t>Scenario: no lag</t>
        </is>
      </c>
      <c r="B9" s="7" t="n">
        <v>0</v>
      </c>
      <c r="C9" s="2" t="inlineStr">
        <is>
          <t>periods</t>
        </is>
      </c>
    </row>
    <row r="10">
      <c r="A10" s="2" t="inlineStr">
        <is>
          <t>Scenario: one-period lag</t>
        </is>
      </c>
      <c r="B10" s="7" t="n">
        <v>1</v>
      </c>
      <c r="C10" s="2" t="inlineStr">
        <is>
          <t>periods</t>
        </is>
      </c>
    </row>
    <row r="11">
      <c r="A11" s="2" t="inlineStr">
        <is>
          <t>Scenario: two-period lag</t>
        </is>
      </c>
      <c r="B11" s="7" t="n">
        <v>2</v>
      </c>
      <c r="C11" s="2" t="inlineStr">
        <is>
          <t>periods</t>
        </is>
      </c>
    </row>
    <row r="12">
      <c r="A12" s="2" t="inlineStr">
        <is>
          <t>Scope</t>
        </is>
      </c>
      <c r="B12" s="6" t="inlineStr">
        <is>
          <t>SYNTHETIC ONLY</t>
        </is>
      </c>
      <c r="C12" s="2" t="inlineStr">
        <is>
          <t>No client, market, tax or accounting conclusion.</t>
        </is>
      </c>
    </row>
    <row r="13">
      <c r="A13" s="2" t="inlineStr">
        <is>
          <t>Source</t>
        </is>
      </c>
      <c r="B13" s="2" t="inlineStr">
        <is>
          <t>P13-SYNTHETIC-CASH-TIMING-FIXTURE</t>
        </is>
      </c>
      <c r="C13" s="2" t="inlineStr">
        <is>
          <t>Values reproduce the bounded P13 synthetic fixture for document-format testing; no customer, market or accounting source was supplied.</t>
        </is>
      </c>
    </row>
  </sheetData>
  <autoFilter ref="A1:C13"/>
  <pageMargins left="0.35" right="0.35" top="0.45" bottom="0.45" header="0.5" footer="0.5"/>
  <pageSetup orientation="landscape" paperSize="9" fitToHeight="1" fitToWidth="1"/>
  <headerFooter>
    <oddHeader/>
    <oddFooter>&amp;CSynthetic internal example — not client or accounting output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6" customHeight="1">
      <c r="A1" s="1" t="inlineStr">
        <is>
          <t>Monthly cash bridge by synthetic collection lag</t>
        </is>
      </c>
    </row>
    <row r="2">
      <c r="A2" s="3" t="inlineStr">
        <is>
          <t>Scenario</t>
        </is>
      </c>
      <c r="B2" s="3" t="inlineStr">
        <is>
          <t>Period</t>
        </is>
      </c>
      <c r="C2" s="3" t="inlineStr">
        <is>
          <t>Billings</t>
        </is>
      </c>
      <c r="D2" s="3" t="inlineStr">
        <is>
          <t>Cash receipts</t>
        </is>
      </c>
      <c r="E2" s="3" t="inlineStr">
        <is>
          <t>Cash costs</t>
        </is>
      </c>
      <c r="F2" s="3" t="inlineStr">
        <is>
          <t>Opening cash</t>
        </is>
      </c>
      <c r="G2" s="3" t="inlineStr">
        <is>
          <t>Closing cash</t>
        </is>
      </c>
      <c r="H2" s="3" t="inlineStr">
        <is>
          <t>Collection lag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>
        <f>Inputs!A9</f>
        <v/>
      </c>
      <c r="B4" s="8" t="n">
        <v>1</v>
      </c>
      <c r="C4" s="4">
        <f>Inputs!B5</f>
        <v/>
      </c>
      <c r="D4" s="4">
        <f>IF(B4&gt;Inputs!B9,C4,0)</f>
        <v/>
      </c>
      <c r="E4" s="4">
        <f>Inputs!B6</f>
        <v/>
      </c>
      <c r="F4" s="4">
        <f>Inputs!B4</f>
        <v/>
      </c>
      <c r="G4" s="4">
        <f>F4+D4-E4</f>
        <v/>
      </c>
      <c r="H4" s="4">
        <f>Inputs!B9</f>
        <v/>
      </c>
    </row>
    <row r="5">
      <c r="A5" s="4">
        <f>Inputs!A9</f>
        <v/>
      </c>
      <c r="B5" s="8" t="n">
        <v>2</v>
      </c>
      <c r="C5" s="4">
        <f>Inputs!B5</f>
        <v/>
      </c>
      <c r="D5" s="4">
        <f>IF(B5&gt;Inputs!B9,C5,0)</f>
        <v/>
      </c>
      <c r="E5" s="4">
        <f>Inputs!B6</f>
        <v/>
      </c>
      <c r="F5" s="4">
        <f>G4</f>
        <v/>
      </c>
      <c r="G5" s="4">
        <f>F5+D5-E5</f>
        <v/>
      </c>
      <c r="H5" s="4">
        <f>Inputs!B9</f>
        <v/>
      </c>
    </row>
    <row r="6">
      <c r="A6" s="4">
        <f>Inputs!A9</f>
        <v/>
      </c>
      <c r="B6" s="8" t="n">
        <v>3</v>
      </c>
      <c r="C6" s="4">
        <f>Inputs!B5</f>
        <v/>
      </c>
      <c r="D6" s="4">
        <f>IF(B6&gt;Inputs!B9,C6,0)</f>
        <v/>
      </c>
      <c r="E6" s="4">
        <f>Inputs!B6</f>
        <v/>
      </c>
      <c r="F6" s="4">
        <f>G5</f>
        <v/>
      </c>
      <c r="G6" s="4">
        <f>F6+D6-E6</f>
        <v/>
      </c>
      <c r="H6" s="4">
        <f>Inputs!B9</f>
        <v/>
      </c>
    </row>
    <row r="7">
      <c r="A7" s="4">
        <f>Inputs!A9</f>
        <v/>
      </c>
      <c r="B7" s="8" t="n">
        <v>4</v>
      </c>
      <c r="C7" s="4">
        <f>Inputs!B5</f>
        <v/>
      </c>
      <c r="D7" s="4">
        <f>IF(B7&gt;Inputs!B9,C7,0)</f>
        <v/>
      </c>
      <c r="E7" s="4">
        <f>Inputs!B6</f>
        <v/>
      </c>
      <c r="F7" s="4">
        <f>G6</f>
        <v/>
      </c>
      <c r="G7" s="4">
        <f>F7+D7-E7</f>
        <v/>
      </c>
      <c r="H7" s="4">
        <f>Inputs!B9</f>
        <v/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4">
        <f>Inputs!A10</f>
        <v/>
      </c>
      <c r="B9" s="8" t="n">
        <v>1</v>
      </c>
      <c r="C9" s="4">
        <f>Inputs!B5</f>
        <v/>
      </c>
      <c r="D9" s="4">
        <f>IF(B9&gt;Inputs!B10,C9,0)</f>
        <v/>
      </c>
      <c r="E9" s="4">
        <f>Inputs!B6</f>
        <v/>
      </c>
      <c r="F9" s="4">
        <f>Inputs!B4</f>
        <v/>
      </c>
      <c r="G9" s="4">
        <f>F9+D9-E9</f>
        <v/>
      </c>
      <c r="H9" s="4">
        <f>Inputs!B10</f>
        <v/>
      </c>
    </row>
    <row r="10">
      <c r="A10" s="4">
        <f>Inputs!A10</f>
        <v/>
      </c>
      <c r="B10" s="8" t="n">
        <v>2</v>
      </c>
      <c r="C10" s="4">
        <f>Inputs!B5</f>
        <v/>
      </c>
      <c r="D10" s="4">
        <f>IF(B10&gt;Inputs!B10,C10,0)</f>
        <v/>
      </c>
      <c r="E10" s="4">
        <f>Inputs!B6</f>
        <v/>
      </c>
      <c r="F10" s="4">
        <f>G9</f>
        <v/>
      </c>
      <c r="G10" s="4">
        <f>F10+D10-E10</f>
        <v/>
      </c>
      <c r="H10" s="4">
        <f>Inputs!B10</f>
        <v/>
      </c>
    </row>
    <row r="11">
      <c r="A11" s="4">
        <f>Inputs!A10</f>
        <v/>
      </c>
      <c r="B11" s="8" t="n">
        <v>3</v>
      </c>
      <c r="C11" s="4">
        <f>Inputs!B5</f>
        <v/>
      </c>
      <c r="D11" s="4">
        <f>IF(B11&gt;Inputs!B10,C11,0)</f>
        <v/>
      </c>
      <c r="E11" s="4">
        <f>Inputs!B6</f>
        <v/>
      </c>
      <c r="F11" s="4">
        <f>G10</f>
        <v/>
      </c>
      <c r="G11" s="4">
        <f>F11+D11-E11</f>
        <v/>
      </c>
      <c r="H11" s="4">
        <f>Inputs!B10</f>
        <v/>
      </c>
    </row>
    <row r="12">
      <c r="A12" s="4">
        <f>Inputs!A10</f>
        <v/>
      </c>
      <c r="B12" s="8" t="n">
        <v>4</v>
      </c>
      <c r="C12" s="4">
        <f>Inputs!B5</f>
        <v/>
      </c>
      <c r="D12" s="4">
        <f>IF(B12&gt;Inputs!B10,C12,0)</f>
        <v/>
      </c>
      <c r="E12" s="4">
        <f>Inputs!B6</f>
        <v/>
      </c>
      <c r="F12" s="4">
        <f>G11</f>
        <v/>
      </c>
      <c r="G12" s="4">
        <f>F12+D12-E12</f>
        <v/>
      </c>
      <c r="H12" s="4">
        <f>Inputs!B10</f>
        <v/>
      </c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4">
        <f>Inputs!A11</f>
        <v/>
      </c>
      <c r="B14" s="8" t="n">
        <v>1</v>
      </c>
      <c r="C14" s="4">
        <f>Inputs!B5</f>
        <v/>
      </c>
      <c r="D14" s="4">
        <f>IF(B14&gt;Inputs!B11,C14,0)</f>
        <v/>
      </c>
      <c r="E14" s="4">
        <f>Inputs!B6</f>
        <v/>
      </c>
      <c r="F14" s="4">
        <f>Inputs!B4</f>
        <v/>
      </c>
      <c r="G14" s="4">
        <f>F14+D14-E14</f>
        <v/>
      </c>
      <c r="H14" s="4">
        <f>Inputs!B11</f>
        <v/>
      </c>
    </row>
    <row r="15">
      <c r="A15" s="4">
        <f>Inputs!A11</f>
        <v/>
      </c>
      <c r="B15" s="8" t="n">
        <v>2</v>
      </c>
      <c r="C15" s="4">
        <f>Inputs!B5</f>
        <v/>
      </c>
      <c r="D15" s="4">
        <f>IF(B15&gt;Inputs!B11,C15,0)</f>
        <v/>
      </c>
      <c r="E15" s="4">
        <f>Inputs!B6</f>
        <v/>
      </c>
      <c r="F15" s="4">
        <f>G14</f>
        <v/>
      </c>
      <c r="G15" s="4">
        <f>F15+D15-E15</f>
        <v/>
      </c>
      <c r="H15" s="4">
        <f>Inputs!B11</f>
        <v/>
      </c>
    </row>
    <row r="16">
      <c r="A16" s="4">
        <f>Inputs!A11</f>
        <v/>
      </c>
      <c r="B16" s="8" t="n">
        <v>3</v>
      </c>
      <c r="C16" s="4">
        <f>Inputs!B5</f>
        <v/>
      </c>
      <c r="D16" s="4">
        <f>IF(B16&gt;Inputs!B11,C16,0)</f>
        <v/>
      </c>
      <c r="E16" s="4">
        <f>Inputs!B6</f>
        <v/>
      </c>
      <c r="F16" s="4">
        <f>G15</f>
        <v/>
      </c>
      <c r="G16" s="4">
        <f>F16+D16-E16</f>
        <v/>
      </c>
      <c r="H16" s="4">
        <f>Inputs!B11</f>
        <v/>
      </c>
    </row>
    <row r="17">
      <c r="A17" s="4">
        <f>Inputs!A11</f>
        <v/>
      </c>
      <c r="B17" s="8" t="n">
        <v>4</v>
      </c>
      <c r="C17" s="4">
        <f>Inputs!B5</f>
        <v/>
      </c>
      <c r="D17" s="4">
        <f>IF(B17&gt;Inputs!B11,C17,0)</f>
        <v/>
      </c>
      <c r="E17" s="4">
        <f>Inputs!B6</f>
        <v/>
      </c>
      <c r="F17" s="4">
        <f>G16</f>
        <v/>
      </c>
      <c r="G17" s="4">
        <f>F17+D17-E17</f>
        <v/>
      </c>
      <c r="H17" s="4">
        <f>Inputs!B11</f>
        <v/>
      </c>
    </row>
  </sheetData>
  <autoFilter ref="A1:H17"/>
  <pageMargins left="0.35" right="0.35" top="0.45" bottom="0.45" header="0.5" footer="0.5"/>
  <pageSetup orientation="landscape" paperSize="9" fitToHeight="1" fitToWidth="1"/>
  <headerFooter>
    <oddHeader/>
    <oddFooter>&amp;CSynthetic internal example — not client or accounting output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4" customWidth="1" min="3" max="3"/>
    <col width="23" customWidth="1" min="4" max="4"/>
  </cols>
  <sheetData>
    <row r="1" ht="26" customHeight="1">
      <c r="A1" s="1" t="inlineStr">
        <is>
          <t>Gap comparison for the summary chart</t>
        </is>
      </c>
    </row>
    <row r="2">
      <c r="A2" s="2" t="n"/>
      <c r="B2" s="2" t="n"/>
    </row>
    <row r="3">
      <c r="A3" s="3" t="inlineStr">
        <is>
          <t>Collection delay</t>
        </is>
      </c>
      <c r="B3" s="3" t="inlineStr">
        <is>
          <t>Unfunded gap (SCU)</t>
        </is>
      </c>
    </row>
    <row r="4">
      <c r="A4" s="2" t="inlineStr">
        <is>
          <t>No lag</t>
        </is>
      </c>
      <c r="B4" s="4">
        <f>Summary!G4</f>
        <v/>
      </c>
    </row>
    <row r="5">
      <c r="A5" s="2" t="inlineStr">
        <is>
          <t>One-period lag</t>
        </is>
      </c>
      <c r="B5" s="4">
        <f>Summary!G5</f>
        <v/>
      </c>
    </row>
    <row r="6">
      <c r="A6" s="2" t="inlineStr">
        <is>
          <t>Two-period lag</t>
        </is>
      </c>
      <c r="B6" s="4">
        <f>Summary!G6</f>
        <v/>
      </c>
    </row>
  </sheetData>
  <autoFilter ref="A1:B6"/>
  <pageMargins left="0.35" right="0.35" top="0.45" bottom="0.45" header="0.5" footer="0.5"/>
  <pageSetup orientation="landscape" paperSize="9" fitToHeight="1" fitToWidth="1"/>
  <headerFooter>
    <oddHeader/>
    <oddFooter>&amp;CSynthetic internal example — not client or accounting output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2026-09-27T17:37:57Z</dcterms:created>
  <dcterms:modified xmlns:dcterms="http://purl.org/dc/terms/" xmlns:xsi="http://www.w3.org/2001/XMLSchema-instance" xsi:type="dcterms:W3CDTF">2026-09-27T17:37:57Z</dcterms:modified>
</cp:coreProperties>
</file>