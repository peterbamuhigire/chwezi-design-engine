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Cash bridges" sheetId="3" state="visible" r:id="rId5"/>
    <sheet name="Chart data" sheetId="4" state="hidden" r:id="rId6"/>
  </sheets>
  <definedNames>
    <definedName function="false" hidden="false" localSheetId="2" name="_xlnm.Print_Area" vbProcedure="false">'Cash bridges'!$A$1:$H$18</definedName>
    <definedName function="false" hidden="false" localSheetId="2" name="_xlnm.Print_Titles" vbProcedure="false">'Cash bridges'!$1:$3</definedName>
    <definedName function="false" hidden="true" localSheetId="2" name="_xlnm._FilterDatabase" vbProcedure="false">'Cash bridges'!$A$1:$H$17</definedName>
    <definedName function="false" hidden="false" localSheetId="3" name="_xlnm.Print_Titles" vbProcedure="false">'Chart data'!$1:$3</definedName>
    <definedName function="false" hidden="true" localSheetId="3" name="_xlnm._FilterDatabase" vbProcedure="false">'Chart data'!$A$1:$B$6</definedName>
    <definedName function="false" hidden="false" localSheetId="1" name="_xlnm.Print_Area" vbProcedure="false">Inputs!$A$1:$C$13</definedName>
    <definedName function="false" hidden="false" localSheetId="1" name="_xlnm.Print_Titles" vbProcedure="false">Inputs!$1:$3</definedName>
    <definedName function="false" hidden="true" localSheetId="1" name="_xlnm._FilterDatabase" vbProcedure="false">Inputs!$A$1:$C$13</definedName>
    <definedName function="false" hidden="false" localSheetId="0" name="_xlnm.Print_Area" vbProcedure="false">Summary!$A$1:$H$26</definedName>
    <definedName function="false" hidden="false" localSheetId="0" name="_xlnm.Print_Titles" vbProcedure="false">Summary!$1:$3</definedName>
    <definedName function="false" hidden="true" localSheetId="0" name="_xlnm._FilterDatabase" vbProcedure="false">Summary!$A$1:$H$7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<sst xmlns="http://schemas.openxmlformats.org/spreadsheetml/2006/main" count="54" uniqueCount="48">
  <si>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Collection delay changes temporary cash needs</t>
  </si>
  <si>
    <t xml:space="preserve">Synthetic cash timing only  /  SCU is not a real currency</t>
  </si>
  <si>
    <t xml:space="preserve">Scenario</t>
  </si>
  <si>
    <t xml:space="preserve">Lag (periods)</t>
  </si>
  <si>
    <t xml:space="preserve">Total billings</t>
  </si>
  <si>
    <t xml:space="preserve">Cash trough</t>
  </si>
  <si>
    <t xml:space="preserve">Funding need</t>
  </si>
  <si>
    <t xml:space="preserve">Assumed buffer</t>
  </si>
  <si>
    <t xml:space="preserve">Unfunded gap</t>
  </si>
  <si>
    <t xml:space="preserve">Ending receivables</t>
  </si>
  <si>
    <t xml:space="preserve">SYNTHETIC ONLY  /  Arithmetic illustration; see Inputs for scope limits.</t>
  </si>
  <si>
    <t xml:space="preserve">Synthetic collection-timing inputs</t>
  </si>
  <si>
    <t xml:space="preserve">Field</t>
  </si>
  <si>
    <t xml:space="preserve">Value</t>
  </si>
  <si>
    <t xml:space="preserve">Unit / boundary</t>
  </si>
  <si>
    <t xml:space="preserve">Periods</t>
  </si>
  <si>
    <t xml:space="preserve">periods</t>
  </si>
  <si>
    <t xml:space="preserve">Opening cash</t>
  </si>
  <si>
    <t xml:space="preserve">SCU</t>
  </si>
  <si>
    <t xml:space="preserve">Monthly billings</t>
  </si>
  <si>
    <t xml:space="preserve">SCU/period</t>
  </si>
  <si>
    <t xml:space="preserve">Monthly cash costs</t>
  </si>
  <si>
    <t xml:space="preserve">Available liquidity</t>
  </si>
  <si>
    <t xml:space="preserve">SCU; assumed buffer, not committed funding</t>
  </si>
  <si>
    <t xml:space="preserve">Collection rate</t>
  </si>
  <si>
    <t xml:space="preserve">%; simplified test assumption</t>
  </si>
  <si>
    <t xml:space="preserve">Scenario: no lag</t>
  </si>
  <si>
    <t xml:space="preserve">Scenario: one-period lag</t>
  </si>
  <si>
    <t xml:space="preserve">Scenario: two-period lag</t>
  </si>
  <si>
    <t xml:space="preserve">Scope</t>
  </si>
  <si>
    <t xml:space="preserve">SYNTHETIC ONLY</t>
  </si>
  <si>
    <t xml:space="preserve">No client, market, tax or accounting conclusion.</t>
  </si>
  <si>
    <t xml:space="preserve">Source</t>
  </si>
  <si>
    <t xml:space="preserve">P13-SYNTHETIC-CASH-TIMING-FIXTURE</t>
  </si>
  <si>
    <t xml:space="preserve">Values reproduce the bounded P13 synthetic fixture for document-format testing; no customer, market or accounting source was supplied.</t>
  </si>
  <si>
    <t xml:space="preserve">Monthly cash bridge by synthetic collection lag</t>
  </si>
  <si>
    <t xml:space="preserve">Period</t>
  </si>
  <si>
    <t xml:space="preserve">Billings</t>
  </si>
  <si>
    <t xml:space="preserve">Cash receipts</t>
  </si>
  <si>
    <t xml:space="preserve">Cash costs</t>
  </si>
  <si>
    <t xml:space="preserve">Closing cash</t>
  </si>
  <si>
    <t xml:space="preserve">Collection lag</t>
  </si>
  <si>
    <t xml:space="preserve">Gap comparison for the summary chart</t>
  </si>
  <si>
    <t xml:space="preserve">Collection delay</t>
  </si>
  <si>
    <t xml:space="preserve">Unfunded gap (SCU)</t>
  </si>
  <si>
    <t xml:space="preserve">No lag</t>
  </si>
  <si>
    <t xml:space="preserve">One-period lag</t>
  </si>
  <si>
    <t xml:space="preserve">Two-period lag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</si>
</sst>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(#,##0\)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13A"/>
      <name val="Spectral"/>
      <family val="0"/>
      <charset val="1"/>
    </font>
    <font>
      <b val="true"/>
      <sz val="9"/>
      <color rgb="FFFFFFFF"/>
      <name val="Atkinson Hyperlegible"/>
      <family val="0"/>
      <charset val="1"/>
    </font>
    <font>
      <sz val="9"/>
      <color rgb="FF18313A"/>
      <name val="Atkinson Hyperlegible"/>
      <family val="0"/>
      <charset val="1"/>
    </font>
    <font>
      <b val="true"/>
      <sz val="9"/>
      <color rgb="FF9C3F35"/>
      <name val="Atkinson Hyperlegible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1466A5"/>
      <name val="Atkinson Hyperlegibl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313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831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3F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66A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6B68"/>
      <rgbColor rgb="FFC0C0C0"/>
      <rgbColor rgb="FF878787"/>
      <rgbColor rgb="FF9999FF"/>
      <rgbColor rgb="FF9C3F35"/>
      <rgbColor rgb="FFFFFFCC"/>
      <rgbColor rgb="FFCCFFFF"/>
      <rgbColor rgb="FF660066"/>
      <rgbColor rgb="FFFF8080"/>
      <rgbColor rgb="FF1466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Only the two-period delay leaves a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data'!B3</c:f>
              <c:strCache>
                <c:ptCount val="1"/>
                <c:pt idx="0">
                  <c:v>Unfunded gap (SCU)</c:v>
                </c:pt>
              </c:strCache>
            </c:strRef>
          </c:tx>
          <c:spPr>
            <a:solidFill>
              <a:srgbClr val="176B68"/>
            </a:solidFill>
            <a:ln w="12600">
              <a:solidFill>
                <a:srgbClr val="176B6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176B68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data'!$A$4:$A$6</c:f>
              <c:strCache>
                <c:ptCount val="3"/>
                <c:pt idx="0">
                  <c:v>No lag</c:v>
                </c:pt>
                <c:pt idx="1">
                  <c:v>One-period lag</c:v>
                </c:pt>
                <c:pt idx="2">
                  <c:v>Two-period lag</c:v>
                </c:pt>
              </c:strCache>
            </c:strRef>
          </c:cat>
          <c:val>
            <c:numRef>
              <c:f>'Chart data'!$B$4:$B$6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45</c:v>
                </c:pt>
              </c:numCache>
            </c:numRef>
          </c:val>
        </c:ser>
        <c:gapWidth val="150"/>
        <c:overlap val="0"/>
        <c:axId val="70369630"/>
        <c:axId val="5003864"/>
      </c:barChart>
      <c:catAx>
        <c:axId val="703696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Collection delay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03864"/>
        <c:crosses val="autoZero"/>
        <c:auto val="1"/>
        <c:lblAlgn val="ctr"/>
        <c:lblOffset val="100"/>
        <c:noMultiLvlLbl val="0"/>
      </c:catAx>
      <c:valAx>
        <c:axId val="5003864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Unfunded gap (SCU)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69630"/>
        <c:crosses val="autoZero"/>
        <c:crossBetween val="between"/>
        <c:majorUnit val="10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236880</xdr:colOff>
      <xdr:row>22</xdr:row>
      <xdr:rowOff>22320</xdr:rowOff>
    </xdr:to>
    <xdr:graphicFrame>
      <xdr:nvGraphicFramePr>
        <xdr:cNvPr id="1" name="Chart 1"/>
        <xdr:cNvGraphicFramePr/>
      </xdr:nvGraphicFramePr>
      <xdr:xfrm>
        <a:off x="0" y="1665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25.5" hidden="false" customHeight="tru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tr">
        <f aca="false">Inputs!A9</f>
        <v>Scenario: no lag</v>
      </c>
      <c r="B4" s="5" t="n">
        <f aca="false">Inputs!B9</f>
        <v>0</v>
      </c>
      <c r="C4" s="4" t="n">
        <f aca="false">SUM('Cash bridges'!C4:C7)</f>
        <v>400</v>
      </c>
      <c r="D4" s="4" t="n">
        <f aca="false">MIN(Inputs!B4,'Cash bridges'!G4:G7)</f>
        <v>0</v>
      </c>
      <c r="E4" s="4" t="n">
        <f aca="false">MAX(0,-D4)</f>
        <v>-0</v>
      </c>
      <c r="F4" s="5" t="n">
        <f aca="false">Inputs!B7</f>
        <v>75</v>
      </c>
      <c r="G4" s="4" t="n">
        <f aca="false">MAX(0,E4-F4)</f>
        <v>0</v>
      </c>
      <c r="H4" s="4" t="n">
        <f aca="false">C4-SUM('Cash bridges'!D4:D7)</f>
        <v>0</v>
      </c>
    </row>
    <row r="5" customFormat="false" ht="15" hidden="false" customHeight="false" outlineLevel="0" collapsed="false">
      <c r="A5" s="4" t="str">
        <f aca="false">Inputs!A10</f>
        <v>Scenario: one-period lag</v>
      </c>
      <c r="B5" s="5" t="n">
        <f aca="false">Inputs!B10</f>
        <v>1</v>
      </c>
      <c r="C5" s="4" t="n">
        <f aca="false">SUM('Cash bridges'!C9:C12)</f>
        <v>400</v>
      </c>
      <c r="D5" s="4" t="n">
        <f aca="false">MIN(Inputs!B4,'Cash bridges'!G9:G12)</f>
        <v>-60</v>
      </c>
      <c r="E5" s="4" t="n">
        <f aca="false">MAX(0,-D5)</f>
        <v>60</v>
      </c>
      <c r="F5" s="5" t="n">
        <f aca="false">Inputs!B7</f>
        <v>75</v>
      </c>
      <c r="G5" s="4" t="n">
        <f aca="false">MAX(0,E5-F5)</f>
        <v>0</v>
      </c>
      <c r="H5" s="4" t="n">
        <f aca="false">C5-SUM('Cash bridges'!D9:D12)</f>
        <v>100</v>
      </c>
    </row>
    <row r="6" customFormat="false" ht="15" hidden="false" customHeight="false" outlineLevel="0" collapsed="false">
      <c r="A6" s="4" t="str">
        <f aca="false">Inputs!A11</f>
        <v>Scenario: two-period lag</v>
      </c>
      <c r="B6" s="5" t="n">
        <f aca="false">Inputs!B11</f>
        <v>2</v>
      </c>
      <c r="C6" s="4" t="n">
        <f aca="false">SUM('Cash bridges'!C14:C17)</f>
        <v>400</v>
      </c>
      <c r="D6" s="4" t="n">
        <f aca="false">MIN(Inputs!B4,'Cash bridges'!G14:G17)</f>
        <v>-120</v>
      </c>
      <c r="E6" s="4" t="n">
        <f aca="false">MAX(0,-D6)</f>
        <v>120</v>
      </c>
      <c r="F6" s="5" t="n">
        <f aca="false">Inputs!B7</f>
        <v>75</v>
      </c>
      <c r="G6" s="4" t="n">
        <f aca="false">MAX(0,E6-F6)</f>
        <v>45</v>
      </c>
      <c r="H6" s="4" t="n">
        <f aca="false">C6-SUM('Cash bridges'!D14:D17)</f>
        <v>200</v>
      </c>
    </row>
    <row r="7" customFormat="false" ht="21.75" hidden="false" customHeight="true" outlineLevel="0" collapsed="false">
      <c r="A7" s="6" t="s">
        <v>10</v>
      </c>
      <c r="B7" s="2"/>
      <c r="C7" s="2"/>
      <c r="D7" s="2"/>
      <c r="E7" s="2"/>
      <c r="F7" s="2"/>
      <c r="G7" s="2"/>
      <c r="H7" s="2"/>
    </row>
  </sheetData>
  <autoFilter ref="A1:H7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74"/>
  </cols>
  <sheetData>
    <row r="1" customFormat="false" ht="25.5" hidden="false" customHeight="true" outlineLevel="0" collapsed="false">
      <c r="A1" s="1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</row>
    <row r="3" customFormat="false" ht="15" hidden="false" customHeight="false" outlineLevel="0" collapsed="false">
      <c r="A3" s="2" t="s">
        <v>15</v>
      </c>
      <c r="B3" s="7" t="n">
        <v>4</v>
      </c>
      <c r="C3" s="2" t="s">
        <v>16</v>
      </c>
    </row>
    <row r="4" customFormat="false" ht="15" hidden="false" customHeight="false" outlineLevel="0" collapsed="false">
      <c r="A4" s="2" t="s">
        <v>17</v>
      </c>
      <c r="B4" s="8" t="n">
        <v>0</v>
      </c>
      <c r="C4" s="2" t="s">
        <v>18</v>
      </c>
    </row>
    <row r="5" customFormat="false" ht="15" hidden="false" customHeight="false" outlineLevel="0" collapsed="false">
      <c r="A5" s="2" t="s">
        <v>19</v>
      </c>
      <c r="B5" s="8" t="n">
        <v>100</v>
      </c>
      <c r="C5" s="2" t="s">
        <v>20</v>
      </c>
    </row>
    <row r="6" customFormat="false" ht="15" hidden="false" customHeight="false" outlineLevel="0" collapsed="false">
      <c r="A6" s="2" t="s">
        <v>21</v>
      </c>
      <c r="B6" s="8" t="n">
        <v>60</v>
      </c>
      <c r="C6" s="2" t="s">
        <v>20</v>
      </c>
    </row>
    <row r="7" customFormat="false" ht="15" hidden="false" customHeight="false" outlineLevel="0" collapsed="false">
      <c r="A7" s="2" t="s">
        <v>22</v>
      </c>
      <c r="B7" s="8" t="n">
        <v>75</v>
      </c>
      <c r="C7" s="2" t="s">
        <v>23</v>
      </c>
    </row>
    <row r="8" customFormat="false" ht="15" hidden="false" customHeight="false" outlineLevel="0" collapsed="false">
      <c r="A8" s="2" t="s">
        <v>24</v>
      </c>
      <c r="B8" s="8" t="n">
        <v>100</v>
      </c>
      <c r="C8" s="2" t="s">
        <v>25</v>
      </c>
    </row>
    <row r="9" customFormat="false" ht="15" hidden="false" customHeight="false" outlineLevel="0" collapsed="false">
      <c r="A9" s="2" t="s">
        <v>26</v>
      </c>
      <c r="B9" s="8" t="n">
        <v>0</v>
      </c>
      <c r="C9" s="2" t="s">
        <v>16</v>
      </c>
    </row>
    <row r="10" customFormat="false" ht="15" hidden="false" customHeight="false" outlineLevel="0" collapsed="false">
      <c r="A10" s="2" t="s">
        <v>27</v>
      </c>
      <c r="B10" s="8" t="n">
        <v>1</v>
      </c>
      <c r="C10" s="2" t="s">
        <v>16</v>
      </c>
    </row>
    <row r="11" customFormat="false" ht="15" hidden="false" customHeight="false" outlineLevel="0" collapsed="false">
      <c r="A11" s="2" t="s">
        <v>28</v>
      </c>
      <c r="B11" s="8" t="n">
        <v>2</v>
      </c>
      <c r="C11" s="2" t="s">
        <v>16</v>
      </c>
    </row>
    <row r="12" customFormat="false" ht="15" hidden="false" customHeight="false" outlineLevel="0" collapsed="false">
      <c r="A12" s="2" t="s">
        <v>29</v>
      </c>
      <c r="B12" s="7" t="s">
        <v>30</v>
      </c>
      <c r="C12" s="2" t="s">
        <v>31</v>
      </c>
    </row>
    <row r="13" customFormat="false" ht="35.05" hidden="false" customHeight="false" outlineLevel="0" collapsed="false">
      <c r="A13" s="2" t="s">
        <v>32</v>
      </c>
      <c r="B13" s="2" t="s">
        <v>33</v>
      </c>
      <c r="C13" s="2" t="s">
        <v>34</v>
      </c>
    </row>
  </sheetData>
  <autoFilter ref="A1:C13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8" min="3" style="0" width="16"/>
  </cols>
  <sheetData>
    <row r="1" customFormat="false" ht="25.5" hidden="false" customHeight="true" outlineLevel="0" collapsed="false">
      <c r="A1" s="1" t="s">
        <v>35</v>
      </c>
    </row>
    <row r="2" customFormat="false" ht="15" hidden="false" customHeight="false" outlineLevel="0" collapsed="false">
      <c r="A2" s="3" t="s">
        <v>2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17</v>
      </c>
      <c r="G2" s="3" t="s">
        <v>40</v>
      </c>
      <c r="H2" s="3" t="s">
        <v>41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tr">
        <f aca="false">Inputs!A9</f>
        <v>Scenario: no lag</v>
      </c>
      <c r="B4" s="9" t="n">
        <v>1</v>
      </c>
      <c r="C4" s="5" t="n">
        <f aca="false">Inputs!B5</f>
        <v>100</v>
      </c>
      <c r="D4" s="5" t="n">
        <f aca="false">IF(B4&gt;Inputs!B9,C4,0)</f>
        <v>100</v>
      </c>
      <c r="E4" s="5" t="n">
        <f aca="false">Inputs!B6</f>
        <v>60</v>
      </c>
      <c r="F4" s="5" t="n">
        <f aca="false">Inputs!B4</f>
        <v>0</v>
      </c>
      <c r="G4" s="4" t="n">
        <f aca="false">F4+D4-E4</f>
        <v>40</v>
      </c>
      <c r="H4" s="5" t="n">
        <f aca="false">Inputs!B9</f>
        <v>0</v>
      </c>
    </row>
    <row r="5" customFormat="false" ht="15" hidden="false" customHeight="false" outlineLevel="0" collapsed="false">
      <c r="A5" s="4" t="str">
        <f aca="false">Inputs!A9</f>
        <v>Scenario: no lag</v>
      </c>
      <c r="B5" s="9" t="n">
        <v>2</v>
      </c>
      <c r="C5" s="5" t="n">
        <f aca="false">Inputs!B5</f>
        <v>100</v>
      </c>
      <c r="D5" s="5" t="n">
        <f aca="false">IF(B5&gt;Inputs!B9,C5,0)</f>
        <v>100</v>
      </c>
      <c r="E5" s="5" t="n">
        <f aca="false">Inputs!B6</f>
        <v>60</v>
      </c>
      <c r="F5" s="4" t="n">
        <f aca="false">G4</f>
        <v>40</v>
      </c>
      <c r="G5" s="4" t="n">
        <f aca="false">F5+D5-E5</f>
        <v>80</v>
      </c>
      <c r="H5" s="5" t="n">
        <f aca="false">Inputs!B9</f>
        <v>0</v>
      </c>
    </row>
    <row r="6" customFormat="false" ht="15" hidden="false" customHeight="false" outlineLevel="0" collapsed="false">
      <c r="A6" s="4" t="str">
        <f aca="false">Inputs!A9</f>
        <v>Scenario: no lag</v>
      </c>
      <c r="B6" s="9" t="n">
        <v>3</v>
      </c>
      <c r="C6" s="5" t="n">
        <f aca="false">Inputs!B5</f>
        <v>100</v>
      </c>
      <c r="D6" s="5" t="n">
        <f aca="false">IF(B6&gt;Inputs!B9,C6,0)</f>
        <v>100</v>
      </c>
      <c r="E6" s="5" t="n">
        <f aca="false">Inputs!B6</f>
        <v>60</v>
      </c>
      <c r="F6" s="4" t="n">
        <f aca="false">G5</f>
        <v>80</v>
      </c>
      <c r="G6" s="4" t="n">
        <f aca="false">F6+D6-E6</f>
        <v>120</v>
      </c>
      <c r="H6" s="5" t="n">
        <f aca="false">Inputs!B9</f>
        <v>0</v>
      </c>
    </row>
    <row r="7" customFormat="false" ht="15" hidden="false" customHeight="false" outlineLevel="0" collapsed="false">
      <c r="A7" s="4" t="str">
        <f aca="false">Inputs!A9</f>
        <v>Scenario: no lag</v>
      </c>
      <c r="B7" s="9" t="n">
        <v>4</v>
      </c>
      <c r="C7" s="5" t="n">
        <f aca="false">Inputs!B5</f>
        <v>100</v>
      </c>
      <c r="D7" s="5" t="n">
        <f aca="false">IF(B7&gt;Inputs!B9,C7,0)</f>
        <v>100</v>
      </c>
      <c r="E7" s="5" t="n">
        <f aca="false">Inputs!B6</f>
        <v>60</v>
      </c>
      <c r="F7" s="4" t="n">
        <f aca="false">G6</f>
        <v>120</v>
      </c>
      <c r="G7" s="4" t="n">
        <f aca="false">F7+D7-E7</f>
        <v>160</v>
      </c>
      <c r="H7" s="5" t="n">
        <f aca="false">Inputs!B9</f>
        <v>0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 t="str">
        <f aca="false">Inputs!A10</f>
        <v>Scenario: one-period lag</v>
      </c>
      <c r="B9" s="9" t="n">
        <v>1</v>
      </c>
      <c r="C9" s="5" t="n">
        <f aca="false">Inputs!B5</f>
        <v>100</v>
      </c>
      <c r="D9" s="4" t="n">
        <f aca="false">IF(B9&gt;Inputs!B10,C9,0)</f>
        <v>0</v>
      </c>
      <c r="E9" s="5" t="n">
        <f aca="false">Inputs!B6</f>
        <v>60</v>
      </c>
      <c r="F9" s="5" t="n">
        <f aca="false">Inputs!B4</f>
        <v>0</v>
      </c>
      <c r="G9" s="4" t="n">
        <f aca="false">F9+D9-E9</f>
        <v>-60</v>
      </c>
      <c r="H9" s="5" t="n">
        <f aca="false">Inputs!B10</f>
        <v>1</v>
      </c>
    </row>
    <row r="10" customFormat="false" ht="15" hidden="false" customHeight="false" outlineLevel="0" collapsed="false">
      <c r="A10" s="4" t="str">
        <f aca="false">Inputs!A10</f>
        <v>Scenario: one-period lag</v>
      </c>
      <c r="B10" s="9" t="n">
        <v>2</v>
      </c>
      <c r="C10" s="5" t="n">
        <f aca="false">Inputs!B5</f>
        <v>100</v>
      </c>
      <c r="D10" s="5" t="n">
        <f aca="false">IF(B10&gt;Inputs!B10,C10,0)</f>
        <v>100</v>
      </c>
      <c r="E10" s="5" t="n">
        <f aca="false">Inputs!B6</f>
        <v>60</v>
      </c>
      <c r="F10" s="4" t="n">
        <f aca="false">G9</f>
        <v>-60</v>
      </c>
      <c r="G10" s="4" t="n">
        <f aca="false">F10+D10-E10</f>
        <v>-20</v>
      </c>
      <c r="H10" s="5" t="n">
        <f aca="false">Inputs!B10</f>
        <v>1</v>
      </c>
    </row>
    <row r="11" customFormat="false" ht="15" hidden="false" customHeight="false" outlineLevel="0" collapsed="false">
      <c r="A11" s="4" t="str">
        <f aca="false">Inputs!A10</f>
        <v>Scenario: one-period lag</v>
      </c>
      <c r="B11" s="9" t="n">
        <v>3</v>
      </c>
      <c r="C11" s="5" t="n">
        <f aca="false">Inputs!B5</f>
        <v>100</v>
      </c>
      <c r="D11" s="5" t="n">
        <f aca="false">IF(B11&gt;Inputs!B10,C11,0)</f>
        <v>100</v>
      </c>
      <c r="E11" s="5" t="n">
        <f aca="false">Inputs!B6</f>
        <v>60</v>
      </c>
      <c r="F11" s="4" t="n">
        <f aca="false">G10</f>
        <v>-20</v>
      </c>
      <c r="G11" s="4" t="n">
        <f aca="false">F11+D11-E11</f>
        <v>20</v>
      </c>
      <c r="H11" s="5" t="n">
        <f aca="false">Inputs!B10</f>
        <v>1</v>
      </c>
    </row>
    <row r="12" customFormat="false" ht="15" hidden="false" customHeight="false" outlineLevel="0" collapsed="false">
      <c r="A12" s="4" t="str">
        <f aca="false">Inputs!A10</f>
        <v>Scenario: one-period lag</v>
      </c>
      <c r="B12" s="9" t="n">
        <v>4</v>
      </c>
      <c r="C12" s="5" t="n">
        <f aca="false">Inputs!B5</f>
        <v>100</v>
      </c>
      <c r="D12" s="5" t="n">
        <f aca="false">IF(B12&gt;Inputs!B10,C12,0)</f>
        <v>100</v>
      </c>
      <c r="E12" s="5" t="n">
        <f aca="false">Inputs!B6</f>
        <v>60</v>
      </c>
      <c r="F12" s="4" t="n">
        <f aca="false">G11</f>
        <v>20</v>
      </c>
      <c r="G12" s="4" t="n">
        <f aca="false">F12+D12-E12</f>
        <v>60</v>
      </c>
      <c r="H12" s="5" t="n">
        <f aca="false">Inputs!B10</f>
        <v>1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4" t="str">
        <f aca="false">Inputs!A11</f>
        <v>Scenario: two-period lag</v>
      </c>
      <c r="B14" s="9" t="n">
        <v>1</v>
      </c>
      <c r="C14" s="5" t="n">
        <f aca="false">Inputs!B5</f>
        <v>100</v>
      </c>
      <c r="D14" s="4" t="n">
        <f aca="false">IF(B14&gt;Inputs!B11,C14,0)</f>
        <v>0</v>
      </c>
      <c r="E14" s="5" t="n">
        <f aca="false">Inputs!B6</f>
        <v>60</v>
      </c>
      <c r="F14" s="5" t="n">
        <f aca="false">Inputs!B4</f>
        <v>0</v>
      </c>
      <c r="G14" s="4" t="n">
        <f aca="false">F14+D14-E14</f>
        <v>-60</v>
      </c>
      <c r="H14" s="5" t="n">
        <f aca="false">Inputs!B11</f>
        <v>2</v>
      </c>
    </row>
    <row r="15" customFormat="false" ht="15" hidden="false" customHeight="false" outlineLevel="0" collapsed="false">
      <c r="A15" s="4" t="str">
        <f aca="false">Inputs!A11</f>
        <v>Scenario: two-period lag</v>
      </c>
      <c r="B15" s="9" t="n">
        <v>2</v>
      </c>
      <c r="C15" s="5" t="n">
        <f aca="false">Inputs!B5</f>
        <v>100</v>
      </c>
      <c r="D15" s="4" t="n">
        <f aca="false">IF(B15&gt;Inputs!B11,C15,0)</f>
        <v>0</v>
      </c>
      <c r="E15" s="5" t="n">
        <f aca="false">Inputs!B6</f>
        <v>60</v>
      </c>
      <c r="F15" s="4" t="n">
        <f aca="false">G14</f>
        <v>-60</v>
      </c>
      <c r="G15" s="4" t="n">
        <f aca="false">F15+D15-E15</f>
        <v>-120</v>
      </c>
      <c r="H15" s="5" t="n">
        <f aca="false">Inputs!B11</f>
        <v>2</v>
      </c>
    </row>
    <row r="16" customFormat="false" ht="15" hidden="false" customHeight="false" outlineLevel="0" collapsed="false">
      <c r="A16" s="4" t="str">
        <f aca="false">Inputs!A11</f>
        <v>Scenario: two-period lag</v>
      </c>
      <c r="B16" s="9" t="n">
        <v>3</v>
      </c>
      <c r="C16" s="5" t="n">
        <f aca="false">Inputs!B5</f>
        <v>100</v>
      </c>
      <c r="D16" s="5" t="n">
        <f aca="false">IF(B16&gt;Inputs!B11,C16,0)</f>
        <v>100</v>
      </c>
      <c r="E16" s="5" t="n">
        <f aca="false">Inputs!B6</f>
        <v>60</v>
      </c>
      <c r="F16" s="4" t="n">
        <f aca="false">G15</f>
        <v>-120</v>
      </c>
      <c r="G16" s="4" t="n">
        <f aca="false">F16+D16-E16</f>
        <v>-80</v>
      </c>
      <c r="H16" s="5" t="n">
        <f aca="false">Inputs!B11</f>
        <v>2</v>
      </c>
    </row>
    <row r="17" customFormat="false" ht="15" hidden="false" customHeight="false" outlineLevel="0" collapsed="false">
      <c r="A17" s="4" t="str">
        <f aca="false">Inputs!A11</f>
        <v>Scenario: two-period lag</v>
      </c>
      <c r="B17" s="9" t="n">
        <v>4</v>
      </c>
      <c r="C17" s="5" t="n">
        <f aca="false">Inputs!B5</f>
        <v>100</v>
      </c>
      <c r="D17" s="5" t="n">
        <f aca="false">IF(B17&gt;Inputs!B11,C17,0)</f>
        <v>100</v>
      </c>
      <c r="E17" s="5" t="n">
        <f aca="false">Inputs!B6</f>
        <v>60</v>
      </c>
      <c r="F17" s="4" t="n">
        <f aca="false">G16</f>
        <v>-80</v>
      </c>
      <c r="G17" s="4" t="n">
        <f aca="false">F17+D17-E17</f>
        <v>-40</v>
      </c>
      <c r="H17" s="5" t="n">
        <f aca="false">Inputs!B11</f>
        <v>2</v>
      </c>
    </row>
  </sheetData>
  <autoFilter ref="A1:H17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3"/>
  </cols>
  <sheetData>
    <row r="1" customFormat="false" ht="25.5" hidden="false" customHeight="true" outlineLevel="0" collapsed="false">
      <c r="A1" s="1" t="s">
        <v>42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43</v>
      </c>
      <c r="B3" s="3" t="s">
        <v>44</v>
      </c>
    </row>
    <row r="4" customFormat="false" ht="15" hidden="false" customHeight="false" outlineLevel="0" collapsed="false">
      <c r="A4" s="2" t="s">
        <v>45</v>
      </c>
      <c r="B4" s="4" t="n">
        <f aca="false">Summary!G4</f>
        <v>0</v>
      </c>
    </row>
    <row r="5" customFormat="false" ht="15" hidden="false" customHeight="false" outlineLevel="0" collapsed="false">
      <c r="A5" s="2" t="s">
        <v>46</v>
      </c>
      <c r="B5" s="4" t="n">
        <f aca="false">Summary!G5</f>
        <v>0</v>
      </c>
    </row>
    <row r="6" customFormat="false" ht="15" hidden="false" customHeight="false" outlineLevel="0" collapsed="false">
      <c r="A6" s="2" t="s">
        <v>47</v>
      </c>
      <c r="B6" s="4" t="n">
        <f aca="false">Summary!G6</f>
        <v>45</v>
      </c>
    </row>
  </sheetData>
  <autoFilter ref="A1:B6"/>
  <printOptions headings="false" gridLines="false" gridLinesSet="true" horizontalCentered="false" verticalCentered="false"/>
  <pageMargins left="0.35" right="0.35" top="0.45" bottom="0.4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&amp;CSynthetic internal example — not client or accounting output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2026-09-27T17:16:53Z</dcterms:created>
  <dc:creator>openpyxl</dc:creator>
  <dc:description/>
  <dc:language>en-US</dc:language>
  <cp:lastModifiedBy/>
  <dcterms:modified xsi:type="dcterms:W3CDTF">2026-09-27T17:16:53Z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